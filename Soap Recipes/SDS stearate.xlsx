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andersonucb/Documents/GitHub/DeepCleaning/Soap Recipes/"/>
    </mc:Choice>
  </mc:AlternateContent>
  <xr:revisionPtr revIDLastSave="0" documentId="13_ncr:1_{B3773CBF-515B-A741-A1D5-2B2750F39FB3}" xr6:coauthVersionLast="47" xr6:coauthVersionMax="47" xr10:uidLastSave="{00000000-0000-0000-0000-000000000000}"/>
  <bookViews>
    <workbookView xWindow="5980" yWindow="2800" windowWidth="23420" windowHeight="16320" xr2:uid="{E0C68C95-AFE9-C64A-8FE8-6BEA630AD9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4" i="1"/>
  <c r="C16" i="1"/>
  <c r="C15" i="1"/>
  <c r="C13" i="1"/>
</calcChain>
</file>

<file path=xl/sharedStrings.xml><?xml version="1.0" encoding="utf-8"?>
<sst xmlns="http://schemas.openxmlformats.org/spreadsheetml/2006/main" count="16" uniqueCount="9">
  <si>
    <t>Stearic Acid</t>
  </si>
  <si>
    <t>NaOH</t>
  </si>
  <si>
    <t>g/mol</t>
  </si>
  <si>
    <t>mass ratio</t>
  </si>
  <si>
    <t>SDS</t>
  </si>
  <si>
    <t>scale</t>
  </si>
  <si>
    <t>g</t>
  </si>
  <si>
    <t>Bentonite clay + mica</t>
  </si>
  <si>
    <t>90% molar equivalence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</si>
</sst>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8BCF-C899-B94B-B0BF-2C2D30199403}">
  <dimension ref="B5:D16"/>
  <sheetViews>
    <sheetView tabSelected="1" workbookViewId="0">
      <selection activeCell="F13" sqref="F13"/>
    </sheetView>
  </sheetViews>
  <sheetFormatPr baseColWidth="10" defaultRowHeight="16" x14ac:dyDescent="0.2"/>
  <cols>
    <col min="2" max="2" width="18.6640625" bestFit="1" customWidth="1"/>
  </cols>
  <sheetData>
    <row r="5" spans="2:4" x14ac:dyDescent="0.2">
      <c r="B5" t="s">
        <v>0</v>
      </c>
      <c r="C5">
        <v>284.48</v>
      </c>
      <c r="D5" t="s">
        <v>2</v>
      </c>
    </row>
    <row r="6" spans="2:4" x14ac:dyDescent="0.2">
      <c r="B6" t="s">
        <v>1</v>
      </c>
      <c r="C6">
        <v>40</v>
      </c>
      <c r="D6" t="s">
        <v>2</v>
      </c>
    </row>
    <row r="7" spans="2:4" x14ac:dyDescent="0.2">
      <c r="B7" t="s">
        <v>3</v>
      </c>
      <c r="C7">
        <f>0.9*C6/C5</f>
        <v>0.12654668166479188</v>
      </c>
      <c r="D7" t="s">
        <v>8</v>
      </c>
    </row>
    <row r="11" spans="2:4" x14ac:dyDescent="0.2">
      <c r="B11" t="s">
        <v>5</v>
      </c>
      <c r="C11">
        <v>20</v>
      </c>
      <c r="D11" t="s">
        <v>6</v>
      </c>
    </row>
    <row r="13" spans="2:4" x14ac:dyDescent="0.2">
      <c r="B13" t="s">
        <v>0</v>
      </c>
      <c r="C13">
        <f>C11</f>
        <v>20</v>
      </c>
      <c r="D13" t="s">
        <v>6</v>
      </c>
    </row>
    <row r="14" spans="2:4" x14ac:dyDescent="0.2">
      <c r="B14" t="s">
        <v>1</v>
      </c>
      <c r="C14" s="1">
        <f>C7*C11</f>
        <v>2.5309336332958376</v>
      </c>
      <c r="D14" t="s">
        <v>6</v>
      </c>
    </row>
    <row r="15" spans="2:4" x14ac:dyDescent="0.2">
      <c r="B15" t="s">
        <v>4</v>
      </c>
      <c r="C15">
        <f>C11</f>
        <v>20</v>
      </c>
      <c r="D15" t="s">
        <v>6</v>
      </c>
    </row>
    <row r="16" spans="2:4" x14ac:dyDescent="0.2">
      <c r="B16" t="s">
        <v>7</v>
      </c>
      <c r="C16">
        <f>2*C11/20</f>
        <v>2</v>
      </c>
      <c r="D16" t="s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Anderson</dc:creator>
  <cp:lastModifiedBy>Chris Anderson</cp:lastModifiedBy>
  <cp:lastPrinted>2025-02-08T18:18:08Z</cp:lastPrinted>
  <dcterms:created xsi:type="dcterms:W3CDTF">2025-02-08T18:13:01Z</dcterms:created>
  <dcterms:modified xsi:type="dcterms:W3CDTF">2025-02-08T19:34:07Z</dcterms:modified>
</cp:coreProperties>
</file>